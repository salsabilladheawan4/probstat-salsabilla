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PROBABILITAS DAN STATISTIKA\"/>
    </mc:Choice>
  </mc:AlternateContent>
  <xr:revisionPtr revIDLastSave="0" documentId="13_ncr:1_{F3BA9171-C7BD-4F79-94DE-C3905220BA76}" xr6:coauthVersionLast="47" xr6:coauthVersionMax="47" xr10:uidLastSave="{00000000-0000-0000-0000-000000000000}"/>
  <bookViews>
    <workbookView xWindow="5760" yWindow="2460" windowWidth="17280" windowHeight="8880" xr2:uid="{F53FAF3E-5B64-42D0-B576-A0DE603505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4" i="1" l="1"/>
  <c r="H17" i="1"/>
  <c r="H18" i="1"/>
  <c r="H22" i="1"/>
  <c r="H30" i="1"/>
  <c r="H31" i="1"/>
  <c r="H33" i="1"/>
  <c r="H38" i="1"/>
  <c r="H39" i="1"/>
  <c r="G10" i="1"/>
  <c r="H10" i="1" s="1"/>
  <c r="G11" i="1"/>
  <c r="H11" i="1" s="1"/>
  <c r="G12" i="1"/>
  <c r="H12" i="1" s="1"/>
  <c r="G13" i="1"/>
  <c r="H13" i="1" s="1"/>
  <c r="G14" i="1"/>
  <c r="G15" i="1"/>
  <c r="H15" i="1" s="1"/>
  <c r="G16" i="1"/>
  <c r="H16" i="1" s="1"/>
  <c r="G17" i="1"/>
  <c r="G18" i="1"/>
  <c r="G19" i="1"/>
  <c r="H19" i="1" s="1"/>
  <c r="G20" i="1"/>
  <c r="H20" i="1" s="1"/>
  <c r="G21" i="1"/>
  <c r="H21" i="1" s="1"/>
  <c r="G22" i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G31" i="1"/>
  <c r="G32" i="1"/>
  <c r="H32" i="1" s="1"/>
  <c r="G33" i="1"/>
  <c r="G34" i="1"/>
  <c r="H34" i="1" s="1"/>
  <c r="G35" i="1"/>
  <c r="H35" i="1" s="1"/>
  <c r="G36" i="1"/>
  <c r="H36" i="1" s="1"/>
  <c r="G37" i="1"/>
  <c r="H37" i="1" s="1"/>
  <c r="G38" i="1"/>
  <c r="G39" i="1"/>
  <c r="G9" i="1"/>
  <c r="H9" i="1" s="1"/>
  <c r="N9" i="1" l="1"/>
  <c r="N15" i="1"/>
  <c r="O10" i="1"/>
  <c r="N11" i="1"/>
  <c r="N14" i="1"/>
  <c r="N13" i="1"/>
  <c r="N12" i="1"/>
  <c r="N10" i="1"/>
  <c r="O9" i="1"/>
  <c r="O14" i="1"/>
  <c r="O13" i="1"/>
  <c r="O12" i="1"/>
  <c r="O11" i="1"/>
</calcChain>
</file>

<file path=xl/sharedStrings.xml><?xml version="1.0" encoding="utf-8"?>
<sst xmlns="http://schemas.openxmlformats.org/spreadsheetml/2006/main" count="62" uniqueCount="61">
  <si>
    <t>ID</t>
  </si>
  <si>
    <t>Name</t>
  </si>
  <si>
    <t>Marks in Quiz
 (Out of 100)</t>
  </si>
  <si>
    <t>Mid Term Results (Out of 100)</t>
  </si>
  <si>
    <t>Final Term Resul  (Out of 100)</t>
  </si>
  <si>
    <t>Final Score</t>
  </si>
  <si>
    <t>Grade</t>
  </si>
  <si>
    <t>John Doe</t>
  </si>
  <si>
    <t>Jane Smith</t>
  </si>
  <si>
    <t>Michael Johnson</t>
  </si>
  <si>
    <t>Emily Brown</t>
  </si>
  <si>
    <t>Daniel Martinez</t>
  </si>
  <si>
    <t>Sarah Wilson</t>
  </si>
  <si>
    <t>David Garcia</t>
  </si>
  <si>
    <t>Jessica Lee</t>
  </si>
  <si>
    <t>Matthew Davis</t>
  </si>
  <si>
    <t>Jennifer Rodriguez</t>
  </si>
  <si>
    <t>Andrew Taylor</t>
  </si>
  <si>
    <t>Amanda Hernandez</t>
  </si>
  <si>
    <t>Christopher Clark</t>
  </si>
  <si>
    <t>Elizabeth Martinez</t>
  </si>
  <si>
    <t>William Anderson</t>
  </si>
  <si>
    <t>Sophia Thomas</t>
  </si>
  <si>
    <t>James White</t>
  </si>
  <si>
    <t>Olivia Taylor</t>
  </si>
  <si>
    <t>Benjamin Wilson</t>
  </si>
  <si>
    <t>Emma Garcia</t>
  </si>
  <si>
    <t>Alexander Davis</t>
  </si>
  <si>
    <t>Mia Moore</t>
  </si>
  <si>
    <t>Ethan Jackson</t>
  </si>
  <si>
    <t>Isabella Brown</t>
  </si>
  <si>
    <t>Noah Taylor</t>
  </si>
  <si>
    <t>Abigail Johnson</t>
  </si>
  <si>
    <t>Logan Martinez</t>
  </si>
  <si>
    <t>Avery Clark</t>
  </si>
  <si>
    <t>Jacob Thompson</t>
  </si>
  <si>
    <t>Samantha Harris</t>
  </si>
  <si>
    <t>A</t>
  </si>
  <si>
    <t>AB</t>
  </si>
  <si>
    <t>B</t>
  </si>
  <si>
    <t>BC</t>
  </si>
  <si>
    <t>C</t>
  </si>
  <si>
    <t>D</t>
  </si>
  <si>
    <t>E</t>
  </si>
  <si>
    <t>Jumlah Mahasiswa</t>
  </si>
  <si>
    <t>Rata Rata Nilai Per Grade</t>
  </si>
  <si>
    <t>Minimum</t>
  </si>
  <si>
    <t>Maximum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</si>
  <si>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</si>
  <si>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</si>
  <si>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</si>
  <si>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</si>
  <si>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</si>
  <si>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</si>
  <si>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</si>
  <si>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</si>
  <si>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</si>
  <si>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</si>
  <si>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Sum</t>
  </si>
  <si>
    <t>Count</t>
  </si>
  <si>
    <t>Salsabilla Dheawan Shenza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</si>
</sst>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2" xfId="0" applyFont="1" applyBorder="1"/>
    <xf numFmtId="0" fontId="0" fillId="0" borderId="2" xfId="0" applyBorder="1"/>
    <xf numFmtId="2" fontId="5" fillId="0" borderId="2" xfId="0" applyNumberFormat="1" applyFont="1" applyBorder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3" xfId="0" applyBorder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800721784776904"/>
          <c:y val="0.11615740740740743"/>
          <c:w val="0.40287467191601051"/>
          <c:h val="0.6714577865266842"/>
        </c:manualLayout>
      </c:layout>
      <c:doughnutChart>
        <c:varyColors val="1"/>
        <c:ser>
          <c:idx val="0"/>
          <c:order val="0"/>
          <c:tx>
            <c:strRef>
              <c:f>Sheet1!$O$8</c:f>
              <c:strCache>
                <c:ptCount val="1"/>
                <c:pt idx="0">
                  <c:v>Rata Rata Nilai Per Grade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tint val="48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7-4E07-9AA6-03F49EC65745}"/>
              </c:ext>
            </c:extLst>
          </c:dPt>
          <c:dPt>
            <c:idx val="1"/>
            <c:bubble3D val="0"/>
            <c:spPr>
              <a:solidFill>
                <a:schemeClr val="accent5">
                  <a:tint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7-4E07-9AA6-03F49EC65745}"/>
              </c:ext>
            </c:extLst>
          </c:dPt>
          <c:dPt>
            <c:idx val="2"/>
            <c:bubble3D val="0"/>
            <c:spPr>
              <a:solidFill>
                <a:schemeClr val="accent5">
                  <a:tint val="83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7-4E07-9AA6-03F49EC65745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7-4E07-9AA6-03F49EC65745}"/>
              </c:ext>
            </c:extLst>
          </c:dPt>
          <c:dPt>
            <c:idx val="4"/>
            <c:bubble3D val="0"/>
            <c:spPr>
              <a:solidFill>
                <a:schemeClr val="accent5">
                  <a:shade val="82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7-4E07-9AA6-03F49EC65745}"/>
              </c:ext>
            </c:extLst>
          </c:dPt>
          <c:dPt>
            <c:idx val="5"/>
            <c:bubble3D val="0"/>
            <c:spPr>
              <a:solidFill>
                <a:schemeClr val="accent5">
                  <a:shade val="6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7-4E07-9AA6-03F49EC65745}"/>
              </c:ext>
            </c:extLst>
          </c:dPt>
          <c:dPt>
            <c:idx val="6"/>
            <c:bubble3D val="0"/>
            <c:spPr>
              <a:solidFill>
                <a:schemeClr val="accent5">
                  <a:shade val="47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7-4E07-9AA6-03F49EC6574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Sheet1!$M$9:$M$15</c:f>
              <c:strCache>
                <c:ptCount val="7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</c:strCache>
            </c:strRef>
          </c:cat>
          <c:val>
            <c:numRef>
              <c:f>Sheet1!$O$9:$O$15</c:f>
              <c:numCache>
                <c:formatCode>0.00</c:formatCode>
                <c:ptCount val="7"/>
                <c:pt idx="0">
                  <c:v>88.035384615384615</c:v>
                </c:pt>
                <c:pt idx="1">
                  <c:v>78.592857142857142</c:v>
                </c:pt>
                <c:pt idx="2">
                  <c:v>71.240000000000009</c:v>
                </c:pt>
                <c:pt idx="3">
                  <c:v>63.05</c:v>
                </c:pt>
                <c:pt idx="4">
                  <c:v>56.292000000000009</c:v>
                </c:pt>
                <c:pt idx="5">
                  <c:v>46.010000000000005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C-4532-A29C-1BBEFBA6883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9359842519685042"/>
          <c:y val="0.82449074074074069"/>
          <c:w val="0.37830833026423466"/>
          <c:h val="7.72652972050032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Sheet1!$N$8</c:f>
              <c:strCache>
                <c:ptCount val="1"/>
                <c:pt idx="0">
                  <c:v>Jumlah Mahasiswa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Sheet1!$M$9:$M$15</c:f>
              <c:strCache>
                <c:ptCount val="7"/>
                <c:pt idx="0">
                  <c:v>A</c:v>
                </c:pt>
                <c:pt idx="1">
                  <c:v>AB</c:v>
                </c:pt>
                <c:pt idx="2">
                  <c:v>B</c:v>
                </c:pt>
                <c:pt idx="3">
                  <c:v>BC</c:v>
                </c:pt>
                <c:pt idx="4">
                  <c:v>C</c:v>
                </c:pt>
                <c:pt idx="5">
                  <c:v>D</c:v>
                </c:pt>
                <c:pt idx="6">
                  <c:v>E</c:v>
                </c:pt>
              </c:strCache>
            </c:strRef>
          </c:cat>
          <c:val>
            <c:numRef>
              <c:f>Sheet1!$N$9:$N$15</c:f>
              <c:numCache>
                <c:formatCode>General</c:formatCode>
                <c:ptCount val="7"/>
                <c:pt idx="0">
                  <c:v>13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0-420D-BAB0-F5EEDBD4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112350287"/>
        <c:axId val="2112348623"/>
      </c:barChart>
      <c:catAx>
        <c:axId val="211235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48623"/>
        <c:crosses val="autoZero"/>
        <c:auto val="1"/>
        <c:lblAlgn val="ctr"/>
        <c:lblOffset val="100"/>
        <c:noMultiLvlLbl val="0"/>
      </c:catAx>
      <c:valAx>
        <c:axId val="211234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35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D" sz="1500" b="1" i="0" u="none" strike="noStrike" cap="all" normalizeH="0" baseline="0"/>
              <a:t>Nilai Kuis vs Final</a:t>
            </a:r>
            <a:endParaRPr lang="en-ID"/>
          </a:p>
        </c:rich>
      </c:tx>
      <c:layout>
        <c:manualLayout>
          <c:xMode val="edge"/>
          <c:yMode val="edge"/>
          <c:x val="0.37912433546652646"/>
          <c:y val="2.77331532012866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dk1">
                  <a:tint val="88500"/>
                </a:schemeClr>
              </a:outerShdw>
            </a:effectLst>
          </c:spPr>
          <c:marker>
            <c:symbol val="circle"/>
            <c:size val="6"/>
            <c:spPr>
              <a:solidFill>
                <a:schemeClr val="dk1">
                  <a:tint val="88500"/>
                </a:schemeClr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Sheet1!$D$9:$D$39</c:f>
              <c:numCache>
                <c:formatCode>General</c:formatCode>
                <c:ptCount val="31"/>
                <c:pt idx="0">
                  <c:v>85</c:v>
                </c:pt>
                <c:pt idx="1">
                  <c:v>85</c:v>
                </c:pt>
                <c:pt idx="2">
                  <c:v>92</c:v>
                </c:pt>
                <c:pt idx="3">
                  <c:v>48</c:v>
                </c:pt>
                <c:pt idx="4">
                  <c:v>90</c:v>
                </c:pt>
                <c:pt idx="5">
                  <c:v>75</c:v>
                </c:pt>
                <c:pt idx="6">
                  <c:v>88</c:v>
                </c:pt>
                <c:pt idx="7">
                  <c:v>75</c:v>
                </c:pt>
                <c:pt idx="8">
                  <c:v>95</c:v>
                </c:pt>
                <c:pt idx="9">
                  <c:v>79</c:v>
                </c:pt>
                <c:pt idx="10">
                  <c:v>42</c:v>
                </c:pt>
                <c:pt idx="11">
                  <c:v>53</c:v>
                </c:pt>
                <c:pt idx="12">
                  <c:v>91</c:v>
                </c:pt>
                <c:pt idx="13">
                  <c:v>76</c:v>
                </c:pt>
                <c:pt idx="14">
                  <c:v>89</c:v>
                </c:pt>
                <c:pt idx="15">
                  <c:v>80</c:v>
                </c:pt>
                <c:pt idx="16">
                  <c:v>94</c:v>
                </c:pt>
                <c:pt idx="17">
                  <c:v>77</c:v>
                </c:pt>
                <c:pt idx="18">
                  <c:v>86</c:v>
                </c:pt>
                <c:pt idx="19">
                  <c:v>92</c:v>
                </c:pt>
                <c:pt idx="20">
                  <c:v>78</c:v>
                </c:pt>
                <c:pt idx="21">
                  <c:v>41</c:v>
                </c:pt>
                <c:pt idx="22">
                  <c:v>68</c:v>
                </c:pt>
                <c:pt idx="23">
                  <c:v>81</c:v>
                </c:pt>
                <c:pt idx="24">
                  <c:v>87</c:v>
                </c:pt>
                <c:pt idx="25">
                  <c:v>79</c:v>
                </c:pt>
                <c:pt idx="26">
                  <c:v>70</c:v>
                </c:pt>
                <c:pt idx="27">
                  <c:v>67</c:v>
                </c:pt>
                <c:pt idx="28">
                  <c:v>69</c:v>
                </c:pt>
                <c:pt idx="29">
                  <c:v>76</c:v>
                </c:pt>
                <c:pt idx="30">
                  <c:v>60</c:v>
                </c:pt>
              </c:numCache>
            </c:numRef>
          </c:xVal>
          <c:yVal>
            <c:numRef>
              <c:f>Sheet1!$G$9:$G$39</c:f>
              <c:numCache>
                <c:formatCode>General</c:formatCode>
                <c:ptCount val="31"/>
                <c:pt idx="0">
                  <c:v>83.45</c:v>
                </c:pt>
                <c:pt idx="1">
                  <c:v>84.44</c:v>
                </c:pt>
                <c:pt idx="2">
                  <c:v>91.38</c:v>
                </c:pt>
                <c:pt idx="3">
                  <c:v>56.41</c:v>
                </c:pt>
                <c:pt idx="4">
                  <c:v>87.65</c:v>
                </c:pt>
                <c:pt idx="5">
                  <c:v>77.350000000000009</c:v>
                </c:pt>
                <c:pt idx="6">
                  <c:v>74.010000000000005</c:v>
                </c:pt>
                <c:pt idx="7">
                  <c:v>73.349999999999994</c:v>
                </c:pt>
                <c:pt idx="8">
                  <c:v>94.03</c:v>
                </c:pt>
                <c:pt idx="9">
                  <c:v>80.3</c:v>
                </c:pt>
                <c:pt idx="10">
                  <c:v>51.33</c:v>
                </c:pt>
                <c:pt idx="11">
                  <c:v>58.73</c:v>
                </c:pt>
                <c:pt idx="12">
                  <c:v>91.97</c:v>
                </c:pt>
                <c:pt idx="13">
                  <c:v>77.3</c:v>
                </c:pt>
                <c:pt idx="14">
                  <c:v>89.97</c:v>
                </c:pt>
                <c:pt idx="15">
                  <c:v>81.300000000000011</c:v>
                </c:pt>
                <c:pt idx="16">
                  <c:v>93.03</c:v>
                </c:pt>
                <c:pt idx="17">
                  <c:v>78.3</c:v>
                </c:pt>
                <c:pt idx="18">
                  <c:v>86.289999999999992</c:v>
                </c:pt>
                <c:pt idx="19">
                  <c:v>91.03</c:v>
                </c:pt>
                <c:pt idx="20">
                  <c:v>79.3</c:v>
                </c:pt>
                <c:pt idx="21">
                  <c:v>46.010000000000005</c:v>
                </c:pt>
                <c:pt idx="22">
                  <c:v>56.830000000000005</c:v>
                </c:pt>
                <c:pt idx="23">
                  <c:v>82.63</c:v>
                </c:pt>
                <c:pt idx="24">
                  <c:v>87.29</c:v>
                </c:pt>
                <c:pt idx="25">
                  <c:v>80.3</c:v>
                </c:pt>
                <c:pt idx="26">
                  <c:v>70.210000000000008</c:v>
                </c:pt>
                <c:pt idx="27">
                  <c:v>58.160000000000004</c:v>
                </c:pt>
                <c:pt idx="28">
                  <c:v>67.39</c:v>
                </c:pt>
                <c:pt idx="29">
                  <c:v>77.3</c:v>
                </c:pt>
                <c:pt idx="30">
                  <c:v>63.05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D4-47A2-8645-FC0D1B51E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4483599"/>
        <c:axId val="2114479439"/>
      </c:scatterChart>
      <c:valAx>
        <c:axId val="211448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479439"/>
        <c:crosses val="autoZero"/>
        <c:crossBetween val="midCat"/>
      </c:valAx>
      <c:valAx>
        <c:axId val="21144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48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tint val="88500"/>
      </a:schemeClr>
    </a:solidFill>
    <a:ln w="9525" cap="flat" cmpd="sng" algn="ctr">
      <a:solidFill>
        <a:schemeClr val="dk1">
          <a:tint val="885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baseline="0">
                <a:effectLst/>
              </a:rPr>
              <a:t>Mid Term vs Final Term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58000"/>
                </a:schemeClr>
              </a:solidFill>
              <a:ln w="9525">
                <a:solidFill>
                  <a:schemeClr val="accent5">
                    <a:shade val="58000"/>
                  </a:schemeClr>
                </a:solidFill>
              </a:ln>
              <a:effectLst/>
            </c:spPr>
          </c:marker>
          <c:yVal>
            <c:numRef>
              <c:f>Sheet1!$E$9:$E$39</c:f>
              <c:numCache>
                <c:formatCode>General</c:formatCode>
                <c:ptCount val="31"/>
                <c:pt idx="0">
                  <c:v>75</c:v>
                </c:pt>
                <c:pt idx="1">
                  <c:v>78</c:v>
                </c:pt>
                <c:pt idx="2">
                  <c:v>88</c:v>
                </c:pt>
                <c:pt idx="3">
                  <c:v>65</c:v>
                </c:pt>
                <c:pt idx="4">
                  <c:v>85</c:v>
                </c:pt>
                <c:pt idx="5">
                  <c:v>80</c:v>
                </c:pt>
                <c:pt idx="6">
                  <c:v>70</c:v>
                </c:pt>
                <c:pt idx="7">
                  <c:v>70</c:v>
                </c:pt>
                <c:pt idx="8">
                  <c:v>91</c:v>
                </c:pt>
                <c:pt idx="9">
                  <c:v>84</c:v>
                </c:pt>
                <c:pt idx="10">
                  <c:v>48</c:v>
                </c:pt>
                <c:pt idx="11">
                  <c:v>64</c:v>
                </c:pt>
                <c:pt idx="12">
                  <c:v>95</c:v>
                </c:pt>
                <c:pt idx="13">
                  <c:v>81</c:v>
                </c:pt>
                <c:pt idx="14">
                  <c:v>93</c:v>
                </c:pt>
                <c:pt idx="15">
                  <c:v>85</c:v>
                </c:pt>
                <c:pt idx="16">
                  <c:v>90</c:v>
                </c:pt>
                <c:pt idx="17">
                  <c:v>82</c:v>
                </c:pt>
                <c:pt idx="18">
                  <c:v>89</c:v>
                </c:pt>
                <c:pt idx="19">
                  <c:v>88</c:v>
                </c:pt>
                <c:pt idx="20">
                  <c:v>83</c:v>
                </c:pt>
                <c:pt idx="21">
                  <c:v>53</c:v>
                </c:pt>
                <c:pt idx="22">
                  <c:v>49</c:v>
                </c:pt>
                <c:pt idx="23">
                  <c:v>87</c:v>
                </c:pt>
                <c:pt idx="24">
                  <c:v>90</c:v>
                </c:pt>
                <c:pt idx="25">
                  <c:v>84</c:v>
                </c:pt>
                <c:pt idx="26">
                  <c:v>77</c:v>
                </c:pt>
                <c:pt idx="27">
                  <c:v>54</c:v>
                </c:pt>
                <c:pt idx="28">
                  <c:v>62</c:v>
                </c:pt>
                <c:pt idx="29">
                  <c:v>81</c:v>
                </c:pt>
                <c:pt idx="30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1F-4606-BE2E-E370AE6E5D6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shade val="86000"/>
                </a:schemeClr>
              </a:solidFill>
              <a:ln w="9525">
                <a:solidFill>
                  <a:schemeClr val="accent5">
                    <a:shade val="86000"/>
                  </a:schemeClr>
                </a:solidFill>
              </a:ln>
              <a:effectLst/>
            </c:spPr>
          </c:marker>
          <c:yVal>
            <c:numRef>
              <c:f>Sheet1!$F$10:$F$19</c:f>
              <c:numCache>
                <c:formatCode>General</c:formatCode>
                <c:ptCount val="10"/>
                <c:pt idx="0">
                  <c:v>90</c:v>
                </c:pt>
                <c:pt idx="1">
                  <c:v>94</c:v>
                </c:pt>
                <c:pt idx="2">
                  <c:v>56</c:v>
                </c:pt>
                <c:pt idx="3">
                  <c:v>88</c:v>
                </c:pt>
                <c:pt idx="4">
                  <c:v>77</c:v>
                </c:pt>
                <c:pt idx="5">
                  <c:v>65</c:v>
                </c:pt>
                <c:pt idx="6">
                  <c:v>75</c:v>
                </c:pt>
                <c:pt idx="7">
                  <c:v>96</c:v>
                </c:pt>
                <c:pt idx="8">
                  <c:v>78</c:v>
                </c:pt>
                <c:pt idx="9">
                  <c:v>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1F-4606-BE2E-E370AE6E5D6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86000"/>
                </a:schemeClr>
              </a:solidFill>
              <a:ln w="9525">
                <a:solidFill>
                  <a:schemeClr val="accent5">
                    <a:tint val="86000"/>
                  </a:schemeClr>
                </a:solidFill>
              </a:ln>
              <a:effectLst/>
            </c:spPr>
          </c:marker>
          <c:yVal>
            <c:numRef>
              <c:f>Sheet1!$F$9:$F$12</c:f>
              <c:numCache>
                <c:formatCode>General</c:formatCode>
                <c:ptCount val="4"/>
                <c:pt idx="0">
                  <c:v>90</c:v>
                </c:pt>
                <c:pt idx="1">
                  <c:v>90</c:v>
                </c:pt>
                <c:pt idx="2">
                  <c:v>94</c:v>
                </c:pt>
                <c:pt idx="3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1F-4606-BE2E-E370AE6E5D68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tint val="58000"/>
                </a:schemeClr>
              </a:solidFill>
              <a:ln w="9525">
                <a:solidFill>
                  <a:schemeClr val="accent5">
                    <a:tint val="58000"/>
                  </a:schemeClr>
                </a:solidFill>
              </a:ln>
              <a:effectLst/>
            </c:spPr>
          </c:marker>
          <c:yVal>
            <c:numRef>
              <c:f>Sheet1!$F$8:$F$39</c:f>
              <c:numCache>
                <c:formatCode>General</c:formatCode>
                <c:ptCount val="32"/>
                <c:pt idx="0">
                  <c:v>0</c:v>
                </c:pt>
                <c:pt idx="1">
                  <c:v>90</c:v>
                </c:pt>
                <c:pt idx="2">
                  <c:v>90</c:v>
                </c:pt>
                <c:pt idx="3">
                  <c:v>94</c:v>
                </c:pt>
                <c:pt idx="4">
                  <c:v>56</c:v>
                </c:pt>
                <c:pt idx="5">
                  <c:v>88</c:v>
                </c:pt>
                <c:pt idx="6">
                  <c:v>77</c:v>
                </c:pt>
                <c:pt idx="7">
                  <c:v>65</c:v>
                </c:pt>
                <c:pt idx="8">
                  <c:v>75</c:v>
                </c:pt>
                <c:pt idx="9">
                  <c:v>96</c:v>
                </c:pt>
                <c:pt idx="10">
                  <c:v>78</c:v>
                </c:pt>
                <c:pt idx="11">
                  <c:v>63</c:v>
                </c:pt>
                <c:pt idx="12">
                  <c:v>59</c:v>
                </c:pt>
                <c:pt idx="13">
                  <c:v>90</c:v>
                </c:pt>
                <c:pt idx="14">
                  <c:v>75</c:v>
                </c:pt>
                <c:pt idx="15">
                  <c:v>88</c:v>
                </c:pt>
                <c:pt idx="16">
                  <c:v>79</c:v>
                </c:pt>
                <c:pt idx="17">
                  <c:v>95</c:v>
                </c:pt>
                <c:pt idx="18">
                  <c:v>76</c:v>
                </c:pt>
                <c:pt idx="19">
                  <c:v>84</c:v>
                </c:pt>
                <c:pt idx="20">
                  <c:v>93</c:v>
                </c:pt>
                <c:pt idx="21">
                  <c:v>77</c:v>
                </c:pt>
                <c:pt idx="22">
                  <c:v>44</c:v>
                </c:pt>
                <c:pt idx="23">
                  <c:v>54</c:v>
                </c:pt>
                <c:pt idx="24">
                  <c:v>80</c:v>
                </c:pt>
                <c:pt idx="25">
                  <c:v>85</c:v>
                </c:pt>
                <c:pt idx="26">
                  <c:v>78</c:v>
                </c:pt>
                <c:pt idx="27">
                  <c:v>64</c:v>
                </c:pt>
                <c:pt idx="28">
                  <c:v>54</c:v>
                </c:pt>
                <c:pt idx="29">
                  <c:v>71</c:v>
                </c:pt>
                <c:pt idx="30">
                  <c:v>75</c:v>
                </c:pt>
                <c:pt idx="31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1F-4606-BE2E-E370AE6E5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390687"/>
        <c:axId val="2026397759"/>
      </c:scatterChart>
      <c:valAx>
        <c:axId val="202639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97759"/>
        <c:crosses val="autoZero"/>
        <c:crossBetween val="midCat"/>
      </c:valAx>
      <c:valAx>
        <c:axId val="202639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39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480148</xdr:colOff>
      <xdr:row>5</xdr:row>
      <xdr:rowOff>129009</xdr:rowOff>
    </xdr:from>
    <xdr:to>
      <xdr:col>21</xdr:col>
      <xdr:colOff>582533</xdr:colOff>
      <xdr:row>19</xdr:row>
      <xdr:rowOff>64577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41505C-5878-47D6-B41B-C386ADA69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487799</xdr:colOff>
      <xdr:row>42</xdr:row>
      <xdr:rowOff>145780</xdr:rowOff>
    </xdr:from>
    <xdr:to>
      <xdr:col>21</xdr:col>
      <xdr:colOff>574884</xdr:colOff>
      <xdr:row>57</xdr:row>
      <xdr:rowOff>113123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854B80-02A8-4C88-8E61-AA0A0A3BC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348344</xdr:colOff>
      <xdr:row>23</xdr:row>
      <xdr:rowOff>117830</xdr:rowOff>
    </xdr:from>
    <xdr:to>
      <xdr:col>21</xdr:col>
      <xdr:colOff>435429</xdr:colOff>
      <xdr:row>38</xdr:row>
      <xdr:rowOff>85173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EEBA38-D24C-4964-A621-228FF7D89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346709</xdr:colOff>
      <xdr:row>23</xdr:row>
      <xdr:rowOff>87631</xdr:rowOff>
    </xdr:from>
    <xdr:to>
      <xdr:col>29</xdr:col>
      <xdr:colOff>197843</xdr:colOff>
      <xdr:row>38</xdr:row>
      <xdr:rowOff>80011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69D4EF-E759-400D-981B-AC1DD5E72A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F195-3BC1-4E94-854F-B40CECF84EB4}">
  <dimension ref="A1:V39"/>
  <sheetViews>
    <sheetView tabSelected="1" zoomScale="69" zoomScaleNormal="69" workbookViewId="0">
      <selection activeCell="J10" sqref="J10"/>
    </sheetView>
  </sheetViews>
  <sheetFormatPr defaultRowHeight="14.4"/>
  <cols>
    <col min="1" max="1" width="3.59765625" style="1" customWidth="1"/>
    <col min="2" max="2" width="20" style="1" customWidth="1"/>
    <col min="3" max="3" width="22.296875" style="1" customWidth="1"/>
    <col min="4" max="4" width="17.69921875" style="1" customWidth="1"/>
    <col min="5" max="5" width="18.296875" style="1" customWidth="1"/>
    <col min="6" max="7" width="21.8984375" style="1" customWidth="1"/>
    <col min="8" max="8" width="15.3984375" style="1" customWidth="1"/>
    <col min="9" max="9" width="21.8984375" style="1" customWidth="1"/>
    <col min="14" max="14" width="18.59765625" customWidth="1"/>
    <col min="15" max="15" width="22.19921875" customWidth="1"/>
    <col min="19" max="19" width="14" customWidth="1"/>
    <col min="20" max="20" width="15.09765625" customWidth="1"/>
    <col min="21" max="21" width="12" customWidth="1"/>
    <col min="22" max="22" width="13.8984375" customWidth="1"/>
  </cols>
  <sheetData>
    <row r="1" spans="1:22" ht="13.8">
      <c r="A1"/>
      <c r="B1"/>
      <c r="C1"/>
      <c r="D1"/>
      <c r="E1"/>
      <c r="F1"/>
      <c r="G1"/>
      <c r="H1"/>
      <c r="I1"/>
    </row>
    <row r="2" spans="1:22" ht="13.8">
      <c r="A2"/>
      <c r="B2"/>
      <c r="C2"/>
      <c r="D2"/>
      <c r="E2"/>
      <c r="F2"/>
      <c r="G2"/>
      <c r="H2"/>
      <c r="I2"/>
    </row>
    <row r="3" spans="1:22" ht="13.8">
      <c r="A3"/>
      <c r="B3"/>
      <c r="C3"/>
      <c r="D3"/>
      <c r="E3"/>
      <c r="F3"/>
      <c r="G3"/>
      <c r="H3"/>
      <c r="I3"/>
    </row>
    <row r="4" spans="1:22" ht="13.8">
      <c r="A4"/>
      <c r="B4"/>
      <c r="C4"/>
      <c r="D4"/>
      <c r="E4"/>
      <c r="F4"/>
      <c r="G4"/>
      <c r="H4"/>
      <c r="I4"/>
    </row>
    <row r="5" spans="1:22">
      <c r="A5"/>
      <c r="B5"/>
      <c r="C5"/>
      <c r="D5"/>
      <c r="E5"/>
      <c r="F5"/>
      <c r="G5"/>
      <c r="H5"/>
      <c r="I5"/>
      <c r="L5" s="16"/>
    </row>
    <row r="6" spans="1:22" ht="13.8">
      <c r="A6"/>
      <c r="B6"/>
      <c r="C6"/>
      <c r="D6"/>
      <c r="E6"/>
      <c r="F6"/>
      <c r="G6"/>
      <c r="H6"/>
      <c r="I6"/>
    </row>
    <row r="7" spans="1:22" ht="13.8">
      <c r="A7"/>
      <c r="B7"/>
      <c r="C7"/>
      <c r="D7"/>
      <c r="E7"/>
      <c r="F7"/>
      <c r="G7"/>
      <c r="H7"/>
      <c r="I7"/>
    </row>
    <row r="8" spans="1:22" ht="31.2"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2" t="s">
        <v>5</v>
      </c>
      <c r="H8" s="2" t="s">
        <v>6</v>
      </c>
      <c r="I8" s="2"/>
      <c r="M8" s="11" t="s">
        <v>6</v>
      </c>
      <c r="N8" s="11" t="s">
        <v>44</v>
      </c>
      <c r="O8" s="11" t="s">
        <v>45</v>
      </c>
      <c r="V8" s="13"/>
    </row>
    <row r="9" spans="1:22" s="7" customFormat="1">
      <c r="A9" s="6"/>
      <c r="B9" s="8">
        <v>2455301173</v>
      </c>
      <c r="C9" s="9" t="s">
        <v>60</v>
      </c>
      <c r="D9" s="8">
        <v>85</v>
      </c>
      <c r="E9" s="8">
        <v>75</v>
      </c>
      <c r="F9" s="8">
        <v>90</v>
      </c>
      <c r="G9" s="8">
        <f>(D9*32%)+(E9*33%)+(F9*35%)</f>
        <v>83.45</v>
      </c>
      <c r="H9" s="8" t="str">
        <f>IF(G9&gt;=81,"A",IF(G9&gt;=76,"AB",IF(G9&gt;=66,"B",IF(G9&gt;=61,"BC",IF(G9&gt;=51,"C",IF(G9&gt;=41,"D","E"))))))</f>
        <v>A</v>
      </c>
      <c r="I9" s="8"/>
      <c r="M9" s="10" t="s">
        <v>37</v>
      </c>
      <c r="N9" s="10">
        <f>COUNTIF($H$9:$H$39,M9)</f>
        <v>13</v>
      </c>
      <c r="O9" s="12">
        <f>AVERAGEIF($H$9:$H$39,M9,$G$9:$G$39)</f>
        <v>88.035384615384615</v>
      </c>
      <c r="U9"/>
      <c r="V9" s="14"/>
    </row>
    <row r="10" spans="1:22">
      <c r="B10" s="3">
        <v>120001</v>
      </c>
      <c r="C10" s="4" t="s">
        <v>7</v>
      </c>
      <c r="D10" s="3">
        <v>85</v>
      </c>
      <c r="E10" s="3">
        <v>78</v>
      </c>
      <c r="F10" s="3">
        <v>90</v>
      </c>
      <c r="G10" s="8">
        <f t="shared" ref="G10:G39" si="0">(D10*32%)+(E10*33%)+(F10*35%)</f>
        <v>84.44</v>
      </c>
      <c r="H10" s="8" t="str">
        <f t="shared" ref="H10:H39" si="1">IF(G10&gt;=81,"A",IF(G10&gt;=76,"AB",IF(G10&gt;=66,"B",IF(G10&gt;=61,"BC",IF(G10&gt;=51,"C",IF(G10&gt;=41,"D","E"))))))</f>
        <v>A</v>
      </c>
      <c r="I10" s="5"/>
      <c r="M10" s="11" t="s">
        <v>38</v>
      </c>
      <c r="N10" s="10">
        <f t="shared" ref="N10:N15" si="2">COUNTIF($H$9:$H$39,M10)</f>
        <v>7</v>
      </c>
      <c r="O10" s="12">
        <f t="shared" ref="O10:O14" si="3">AVERAGEIF($H$9:$H$39,M10,$G$9:$G$39)</f>
        <v>78.592857142857142</v>
      </c>
      <c r="V10" s="14"/>
    </row>
    <row r="11" spans="1:22">
      <c r="B11" s="3">
        <v>120005</v>
      </c>
      <c r="C11" s="4" t="s">
        <v>8</v>
      </c>
      <c r="D11" s="3">
        <v>92</v>
      </c>
      <c r="E11" s="3">
        <v>88</v>
      </c>
      <c r="F11" s="3">
        <v>94</v>
      </c>
      <c r="G11" s="8">
        <f t="shared" si="0"/>
        <v>91.38</v>
      </c>
      <c r="H11" s="8" t="str">
        <f t="shared" si="1"/>
        <v>A</v>
      </c>
      <c r="I11" s="5"/>
      <c r="M11" s="11" t="s">
        <v>39</v>
      </c>
      <c r="N11" s="10">
        <f t="shared" si="2"/>
        <v>4</v>
      </c>
      <c r="O11" s="12">
        <f t="shared" si="3"/>
        <v>71.240000000000009</v>
      </c>
      <c r="V11" s="14"/>
    </row>
    <row r="12" spans="1:22">
      <c r="B12" s="3">
        <v>120017</v>
      </c>
      <c r="C12" s="4" t="s">
        <v>9</v>
      </c>
      <c r="D12" s="3">
        <v>48</v>
      </c>
      <c r="E12" s="3">
        <v>65</v>
      </c>
      <c r="F12" s="3">
        <v>56</v>
      </c>
      <c r="G12" s="8">
        <f t="shared" si="0"/>
        <v>56.41</v>
      </c>
      <c r="H12" s="8" t="str">
        <f t="shared" si="1"/>
        <v>C</v>
      </c>
      <c r="I12" s="5"/>
      <c r="M12" s="11" t="s">
        <v>40</v>
      </c>
      <c r="N12" s="10">
        <f t="shared" si="2"/>
        <v>1</v>
      </c>
      <c r="O12" s="12">
        <f t="shared" si="3"/>
        <v>63.05</v>
      </c>
      <c r="V12" s="14"/>
    </row>
    <row r="13" spans="1:22">
      <c r="B13" s="3">
        <v>120018</v>
      </c>
      <c r="C13" s="4" t="s">
        <v>10</v>
      </c>
      <c r="D13" s="3">
        <v>90</v>
      </c>
      <c r="E13" s="3">
        <v>85</v>
      </c>
      <c r="F13" s="3">
        <v>88</v>
      </c>
      <c r="G13" s="8">
        <f t="shared" si="0"/>
        <v>87.65</v>
      </c>
      <c r="H13" s="8" t="str">
        <f t="shared" si="1"/>
        <v>A</v>
      </c>
      <c r="I13" s="5"/>
      <c r="M13" s="11" t="s">
        <v>41</v>
      </c>
      <c r="N13" s="10">
        <f t="shared" si="2"/>
        <v>5</v>
      </c>
      <c r="O13" s="12">
        <f t="shared" si="3"/>
        <v>56.292000000000009</v>
      </c>
    </row>
    <row r="14" spans="1:22">
      <c r="B14" s="3">
        <v>120022</v>
      </c>
      <c r="C14" s="4" t="s">
        <v>11</v>
      </c>
      <c r="D14" s="3">
        <v>75</v>
      </c>
      <c r="E14" s="3">
        <v>80</v>
      </c>
      <c r="F14" s="3">
        <v>77</v>
      </c>
      <c r="G14" s="8">
        <f t="shared" si="0"/>
        <v>77.350000000000009</v>
      </c>
      <c r="H14" s="8" t="str">
        <f t="shared" si="1"/>
        <v>AB</v>
      </c>
      <c r="I14" s="5"/>
      <c r="M14" s="11" t="s">
        <v>42</v>
      </c>
      <c r="N14" s="10">
        <f t="shared" si="2"/>
        <v>1</v>
      </c>
      <c r="O14" s="12">
        <f t="shared" si="3"/>
        <v>46.010000000000005</v>
      </c>
    </row>
    <row r="15" spans="1:22">
      <c r="B15" s="3">
        <v>120024</v>
      </c>
      <c r="C15" s="4" t="s">
        <v>12</v>
      </c>
      <c r="D15" s="3">
        <v>88</v>
      </c>
      <c r="E15" s="3">
        <v>70</v>
      </c>
      <c r="F15" s="3">
        <v>65</v>
      </c>
      <c r="G15" s="8">
        <f t="shared" si="0"/>
        <v>74.010000000000005</v>
      </c>
      <c r="H15" s="8" t="str">
        <f t="shared" si="1"/>
        <v>B</v>
      </c>
      <c r="I15" s="5"/>
      <c r="M15" s="11" t="s">
        <v>43</v>
      </c>
      <c r="N15" s="10">
        <f t="shared" si="2"/>
        <v>0</v>
      </c>
      <c r="O15" s="12">
        <v>0</v>
      </c>
    </row>
    <row r="16" spans="1:22">
      <c r="B16" s="3">
        <v>120025</v>
      </c>
      <c r="C16" s="4" t="s">
        <v>13</v>
      </c>
      <c r="D16" s="3">
        <v>75</v>
      </c>
      <c r="E16" s="3">
        <v>70</v>
      </c>
      <c r="F16" s="3">
        <v>75</v>
      </c>
      <c r="G16" s="8">
        <f t="shared" si="0"/>
        <v>73.349999999999994</v>
      </c>
      <c r="H16" s="8" t="str">
        <f t="shared" si="1"/>
        <v>B</v>
      </c>
      <c r="I16" s="5"/>
    </row>
    <row r="17" spans="2:15">
      <c r="B17" s="3">
        <v>120027</v>
      </c>
      <c r="C17" s="4" t="s">
        <v>14</v>
      </c>
      <c r="D17" s="3">
        <v>95</v>
      </c>
      <c r="E17" s="3">
        <v>91</v>
      </c>
      <c r="F17" s="3">
        <v>96</v>
      </c>
      <c r="G17" s="8">
        <f t="shared" si="0"/>
        <v>94.03</v>
      </c>
      <c r="H17" s="8" t="str">
        <f t="shared" si="1"/>
        <v>A</v>
      </c>
      <c r="I17" s="5"/>
    </row>
    <row r="18" spans="2:15">
      <c r="B18" s="3">
        <v>120034</v>
      </c>
      <c r="C18" s="4" t="s">
        <v>15</v>
      </c>
      <c r="D18" s="3">
        <v>79</v>
      </c>
      <c r="E18" s="3">
        <v>84</v>
      </c>
      <c r="F18" s="3">
        <v>78</v>
      </c>
      <c r="G18" s="8">
        <f t="shared" si="0"/>
        <v>80.3</v>
      </c>
      <c r="H18" s="8" t="str">
        <f t="shared" si="1"/>
        <v>AB</v>
      </c>
      <c r="I18" s="5"/>
    </row>
    <row r="19" spans="2:15">
      <c r="B19" s="3">
        <v>120035</v>
      </c>
      <c r="C19" s="4" t="s">
        <v>16</v>
      </c>
      <c r="D19" s="3">
        <v>42</v>
      </c>
      <c r="E19" s="3">
        <v>48</v>
      </c>
      <c r="F19" s="3">
        <v>63</v>
      </c>
      <c r="G19" s="8">
        <f t="shared" si="0"/>
        <v>51.33</v>
      </c>
      <c r="H19" s="8" t="str">
        <f t="shared" si="1"/>
        <v>C</v>
      </c>
      <c r="I19" s="5"/>
      <c r="M19" s="16"/>
      <c r="N19" s="16"/>
      <c r="O19" s="16"/>
    </row>
    <row r="20" spans="2:15" ht="15" thickBot="1">
      <c r="B20" s="3">
        <v>120036</v>
      </c>
      <c r="C20" s="4" t="s">
        <v>17</v>
      </c>
      <c r="D20" s="3">
        <v>53</v>
      </c>
      <c r="E20" s="3">
        <v>64</v>
      </c>
      <c r="F20" s="3">
        <v>59</v>
      </c>
      <c r="G20" s="8">
        <f t="shared" si="0"/>
        <v>58.73</v>
      </c>
      <c r="H20" s="8" t="str">
        <f t="shared" si="1"/>
        <v>C</v>
      </c>
      <c r="I20" s="5"/>
    </row>
    <row r="21" spans="2:15">
      <c r="B21" s="3">
        <v>120038</v>
      </c>
      <c r="C21" s="4" t="s">
        <v>18</v>
      </c>
      <c r="D21" s="3">
        <v>91</v>
      </c>
      <c r="E21" s="3">
        <v>95</v>
      </c>
      <c r="F21" s="3">
        <v>90</v>
      </c>
      <c r="G21" s="8">
        <f t="shared" si="0"/>
        <v>91.97</v>
      </c>
      <c r="H21" s="8" t="str">
        <f t="shared" si="1"/>
        <v>A</v>
      </c>
      <c r="I21" s="5"/>
      <c r="M21" s="17" t="s">
        <v>48</v>
      </c>
      <c r="N21" s="17"/>
    </row>
    <row r="22" spans="2:15">
      <c r="B22" s="3">
        <v>120039</v>
      </c>
      <c r="C22" s="4" t="s">
        <v>19</v>
      </c>
      <c r="D22" s="3">
        <v>76</v>
      </c>
      <c r="E22" s="3">
        <v>81</v>
      </c>
      <c r="F22" s="3">
        <v>75</v>
      </c>
      <c r="G22" s="8">
        <f t="shared" si="0"/>
        <v>77.3</v>
      </c>
      <c r="H22" s="8" t="str">
        <f t="shared" si="1"/>
        <v>AB</v>
      </c>
      <c r="I22" s="5"/>
    </row>
    <row r="23" spans="2:15">
      <c r="B23" s="3">
        <v>120046</v>
      </c>
      <c r="C23" s="4" t="s">
        <v>20</v>
      </c>
      <c r="D23" s="3">
        <v>89</v>
      </c>
      <c r="E23" s="3">
        <v>93</v>
      </c>
      <c r="F23" s="3">
        <v>88</v>
      </c>
      <c r="G23" s="8">
        <f t="shared" si="0"/>
        <v>89.97</v>
      </c>
      <c r="H23" s="8" t="str">
        <f t="shared" si="1"/>
        <v>A</v>
      </c>
      <c r="I23" s="5"/>
      <c r="L23" s="7"/>
      <c r="M23" t="s">
        <v>49</v>
      </c>
      <c r="N23">
        <v>76.52774193548386</v>
      </c>
    </row>
    <row r="24" spans="2:15">
      <c r="B24" s="3">
        <v>120047</v>
      </c>
      <c r="C24" s="4" t="s">
        <v>21</v>
      </c>
      <c r="D24" s="3">
        <v>80</v>
      </c>
      <c r="E24" s="3">
        <v>85</v>
      </c>
      <c r="F24" s="3">
        <v>79</v>
      </c>
      <c r="G24" s="8">
        <f t="shared" si="0"/>
        <v>81.300000000000011</v>
      </c>
      <c r="H24" s="8" t="str">
        <f t="shared" si="1"/>
        <v>A</v>
      </c>
      <c r="I24" s="5"/>
      <c r="M24" t="s">
        <v>50</v>
      </c>
      <c r="N24">
        <v>2.3976765056481297</v>
      </c>
    </row>
    <row r="25" spans="2:15">
      <c r="B25" s="3">
        <v>120049</v>
      </c>
      <c r="C25" s="4" t="s">
        <v>22</v>
      </c>
      <c r="D25" s="3">
        <v>94</v>
      </c>
      <c r="E25" s="3">
        <v>90</v>
      </c>
      <c r="F25" s="3">
        <v>95</v>
      </c>
      <c r="G25" s="8">
        <f t="shared" si="0"/>
        <v>93.03</v>
      </c>
      <c r="H25" s="8" t="str">
        <f t="shared" si="1"/>
        <v>A</v>
      </c>
      <c r="I25" s="5"/>
      <c r="M25" t="s">
        <v>51</v>
      </c>
      <c r="N25">
        <v>79.3</v>
      </c>
    </row>
    <row r="26" spans="2:15">
      <c r="B26" s="3">
        <v>120054</v>
      </c>
      <c r="C26" s="4" t="s">
        <v>23</v>
      </c>
      <c r="D26" s="3">
        <v>77</v>
      </c>
      <c r="E26" s="3">
        <v>82</v>
      </c>
      <c r="F26" s="3">
        <v>76</v>
      </c>
      <c r="G26" s="8">
        <f t="shared" si="0"/>
        <v>78.3</v>
      </c>
      <c r="H26" s="8" t="str">
        <f t="shared" si="1"/>
        <v>AB</v>
      </c>
      <c r="I26" s="5"/>
      <c r="M26" t="s">
        <v>52</v>
      </c>
      <c r="N26">
        <v>80.3</v>
      </c>
    </row>
    <row r="27" spans="2:15">
      <c r="B27" s="3">
        <v>120060</v>
      </c>
      <c r="C27" s="4" t="s">
        <v>24</v>
      </c>
      <c r="D27" s="3">
        <v>86</v>
      </c>
      <c r="E27" s="3">
        <v>89</v>
      </c>
      <c r="F27" s="3">
        <v>84</v>
      </c>
      <c r="G27" s="8">
        <f t="shared" si="0"/>
        <v>86.289999999999992</v>
      </c>
      <c r="H27" s="8" t="str">
        <f t="shared" si="1"/>
        <v>A</v>
      </c>
      <c r="I27" s="5"/>
      <c r="M27" t="s">
        <v>53</v>
      </c>
      <c r="N27">
        <v>13.349697801742471</v>
      </c>
    </row>
    <row r="28" spans="2:15">
      <c r="B28" s="3">
        <v>120063</v>
      </c>
      <c r="C28" s="4" t="s">
        <v>25</v>
      </c>
      <c r="D28" s="3">
        <v>92</v>
      </c>
      <c r="E28" s="3">
        <v>88</v>
      </c>
      <c r="F28" s="3">
        <v>93</v>
      </c>
      <c r="G28" s="8">
        <f t="shared" si="0"/>
        <v>91.03</v>
      </c>
      <c r="H28" s="8" t="str">
        <f t="shared" si="1"/>
        <v>A</v>
      </c>
      <c r="I28" s="5"/>
      <c r="M28" t="s">
        <v>54</v>
      </c>
      <c r="N28">
        <v>178.21443139784776</v>
      </c>
    </row>
    <row r="29" spans="2:15">
      <c r="B29" s="3">
        <v>120070</v>
      </c>
      <c r="C29" s="4" t="s">
        <v>26</v>
      </c>
      <c r="D29" s="3">
        <v>78</v>
      </c>
      <c r="E29" s="3">
        <v>83</v>
      </c>
      <c r="F29" s="3">
        <v>77</v>
      </c>
      <c r="G29" s="8">
        <f t="shared" si="0"/>
        <v>79.3</v>
      </c>
      <c r="H29" s="8" t="str">
        <f t="shared" si="1"/>
        <v>AB</v>
      </c>
      <c r="I29" s="5"/>
      <c r="M29" t="s">
        <v>55</v>
      </c>
      <c r="N29">
        <v>-0.45000949083401398</v>
      </c>
    </row>
    <row r="30" spans="2:15">
      <c r="B30" s="3">
        <v>120071</v>
      </c>
      <c r="C30" s="4" t="s">
        <v>27</v>
      </c>
      <c r="D30" s="3">
        <v>41</v>
      </c>
      <c r="E30" s="3">
        <v>53</v>
      </c>
      <c r="F30" s="3">
        <v>44</v>
      </c>
      <c r="G30" s="8">
        <f t="shared" si="0"/>
        <v>46.010000000000005</v>
      </c>
      <c r="H30" s="8" t="str">
        <f t="shared" si="1"/>
        <v>D</v>
      </c>
      <c r="I30" s="5"/>
      <c r="M30" t="s">
        <v>56</v>
      </c>
      <c r="N30">
        <v>-0.71833270345056344</v>
      </c>
    </row>
    <row r="31" spans="2:15">
      <c r="B31" s="3">
        <v>120073</v>
      </c>
      <c r="C31" s="4" t="s">
        <v>28</v>
      </c>
      <c r="D31" s="3">
        <v>68</v>
      </c>
      <c r="E31" s="3">
        <v>49</v>
      </c>
      <c r="F31" s="3">
        <v>54</v>
      </c>
      <c r="G31" s="8">
        <f t="shared" si="0"/>
        <v>56.830000000000005</v>
      </c>
      <c r="H31" s="8" t="str">
        <f t="shared" si="1"/>
        <v>C</v>
      </c>
      <c r="I31" s="5"/>
      <c r="M31" t="s">
        <v>57</v>
      </c>
      <c r="N31">
        <v>48.019999999999996</v>
      </c>
    </row>
    <row r="32" spans="2:15">
      <c r="B32" s="3">
        <v>120082</v>
      </c>
      <c r="C32" s="4" t="s">
        <v>29</v>
      </c>
      <c r="D32" s="3">
        <v>81</v>
      </c>
      <c r="E32" s="3">
        <v>87</v>
      </c>
      <c r="F32" s="3">
        <v>80</v>
      </c>
      <c r="G32" s="8">
        <f t="shared" si="0"/>
        <v>82.63</v>
      </c>
      <c r="H32" s="8" t="str">
        <f t="shared" si="1"/>
        <v>A</v>
      </c>
      <c r="I32" s="5"/>
      <c r="M32" t="s">
        <v>46</v>
      </c>
      <c r="N32">
        <v>46.010000000000005</v>
      </c>
    </row>
    <row r="33" spans="2:14">
      <c r="B33" s="3">
        <v>120083</v>
      </c>
      <c r="C33" s="4" t="s">
        <v>30</v>
      </c>
      <c r="D33" s="3">
        <v>87</v>
      </c>
      <c r="E33" s="3">
        <v>90</v>
      </c>
      <c r="F33" s="3">
        <v>85</v>
      </c>
      <c r="G33" s="8">
        <f t="shared" si="0"/>
        <v>87.29</v>
      </c>
      <c r="H33" s="8" t="str">
        <f t="shared" si="1"/>
        <v>A</v>
      </c>
      <c r="I33" s="5"/>
      <c r="M33" t="s">
        <v>47</v>
      </c>
      <c r="N33">
        <v>94.03</v>
      </c>
    </row>
    <row r="34" spans="2:14">
      <c r="B34" s="3">
        <v>120088</v>
      </c>
      <c r="C34" s="4" t="s">
        <v>31</v>
      </c>
      <c r="D34" s="3">
        <v>79</v>
      </c>
      <c r="E34" s="3">
        <v>84</v>
      </c>
      <c r="F34" s="3">
        <v>78</v>
      </c>
      <c r="G34" s="8">
        <f t="shared" si="0"/>
        <v>80.3</v>
      </c>
      <c r="H34" s="8" t="str">
        <f t="shared" si="1"/>
        <v>AB</v>
      </c>
      <c r="I34" s="5"/>
      <c r="M34" t="s">
        <v>58</v>
      </c>
      <c r="N34">
        <v>2372.3599999999997</v>
      </c>
    </row>
    <row r="35" spans="2:14" ht="15" thickBot="1">
      <c r="B35" s="3">
        <v>120090</v>
      </c>
      <c r="C35" s="4" t="s">
        <v>32</v>
      </c>
      <c r="D35" s="3">
        <v>70</v>
      </c>
      <c r="E35" s="3">
        <v>77</v>
      </c>
      <c r="F35" s="3">
        <v>64</v>
      </c>
      <c r="G35" s="8">
        <f t="shared" si="0"/>
        <v>70.210000000000008</v>
      </c>
      <c r="H35" s="8" t="str">
        <f t="shared" si="1"/>
        <v>B</v>
      </c>
      <c r="I35" s="5"/>
      <c r="M35" s="15" t="s">
        <v>59</v>
      </c>
      <c r="N35" s="15">
        <v>31</v>
      </c>
    </row>
    <row r="36" spans="2:14">
      <c r="B36" s="3">
        <v>120093</v>
      </c>
      <c r="C36" s="4" t="s">
        <v>33</v>
      </c>
      <c r="D36" s="3">
        <v>67</v>
      </c>
      <c r="E36" s="3">
        <v>54</v>
      </c>
      <c r="F36" s="3">
        <v>54</v>
      </c>
      <c r="G36" s="8">
        <f t="shared" si="0"/>
        <v>58.160000000000004</v>
      </c>
      <c r="H36" s="8" t="str">
        <f t="shared" si="1"/>
        <v>C</v>
      </c>
      <c r="I36" s="5"/>
    </row>
    <row r="37" spans="2:14">
      <c r="B37" s="3">
        <v>120095</v>
      </c>
      <c r="C37" s="4" t="s">
        <v>34</v>
      </c>
      <c r="D37" s="3">
        <v>69</v>
      </c>
      <c r="E37" s="3">
        <v>62</v>
      </c>
      <c r="F37" s="3">
        <v>71</v>
      </c>
      <c r="G37" s="8">
        <f t="shared" si="0"/>
        <v>67.39</v>
      </c>
      <c r="H37" s="8" t="str">
        <f t="shared" si="1"/>
        <v>B</v>
      </c>
      <c r="I37" s="5"/>
    </row>
    <row r="38" spans="2:14">
      <c r="B38" s="3">
        <v>120098</v>
      </c>
      <c r="C38" s="4" t="s">
        <v>35</v>
      </c>
      <c r="D38" s="3">
        <v>76</v>
      </c>
      <c r="E38" s="3">
        <v>81</v>
      </c>
      <c r="F38" s="3">
        <v>75</v>
      </c>
      <c r="G38" s="8">
        <f t="shared" si="0"/>
        <v>77.3</v>
      </c>
      <c r="H38" s="8" t="str">
        <f t="shared" si="1"/>
        <v>AB</v>
      </c>
      <c r="I38" s="5"/>
    </row>
    <row r="39" spans="2:14">
      <c r="B39" s="3">
        <v>120099</v>
      </c>
      <c r="C39" s="4" t="s">
        <v>36</v>
      </c>
      <c r="D39" s="3">
        <v>60</v>
      </c>
      <c r="E39" s="3">
        <v>65</v>
      </c>
      <c r="F39" s="3">
        <v>64</v>
      </c>
      <c r="G39" s="8">
        <f t="shared" si="0"/>
        <v>63.05</v>
      </c>
      <c r="H39" s="8" t="str">
        <f t="shared" si="1"/>
        <v>BC</v>
      </c>
      <c r="I39" s="5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 Elviyenti</dc:creator>
  <cp:lastModifiedBy>M-SI</cp:lastModifiedBy>
  <dcterms:created xsi:type="dcterms:W3CDTF">2026-09-15T00:47:47Z</dcterms:created>
  <dcterms:modified xsi:type="dcterms:W3CDTF">2026-09-27T07:42:39Z</dcterms:modified>
</cp:coreProperties>
</file>